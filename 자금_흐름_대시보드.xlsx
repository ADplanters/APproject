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nap1\Desktop\APproject\"/>
    </mc:Choice>
  </mc:AlternateContent>
  <xr:revisionPtr revIDLastSave="0" documentId="13_ncr:1_{C8F40A9C-FD57-4E26-9856-FAD8BEF829C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4" i="1" l="1"/>
  <c r="M14" i="1"/>
  <c r="I14" i="1"/>
  <c r="G17" i="1" s="1"/>
  <c r="H14" i="1"/>
  <c r="D14" i="1"/>
  <c r="B17" i="1" s="1"/>
  <c r="L17" i="1" s="1"/>
  <c r="C14" i="1"/>
</calcChain>
</file>

<file path=xl/sharedStrings.xml><?xml version="1.0" encoding="utf-8"?>
<sst xmlns="http://schemas.openxmlformats.org/spreadsheetml/2006/main" count="70" uniqueCount="55">
  <si>
    <t>📊 개인 자금 흐름 대시보드</t>
  </si>
  <si>
    <t>수익_대분류</t>
  </si>
  <si>
    <t>수익_항목</t>
  </si>
  <si>
    <t>수익_목표</t>
  </si>
  <si>
    <t>수익_실제</t>
  </si>
  <si>
    <t>고정_대분류</t>
  </si>
  <si>
    <t>고정_항목</t>
  </si>
  <si>
    <t>고정_예산</t>
  </si>
  <si>
    <t>고정_실제</t>
  </si>
  <si>
    <t>변동_대분류</t>
  </si>
  <si>
    <t>변동_항목</t>
  </si>
  <si>
    <t>변동_예산</t>
  </si>
  <si>
    <t>변동_실제</t>
  </si>
  <si>
    <t>주수입</t>
  </si>
  <si>
    <t>본업 급여</t>
  </si>
  <si>
    <t>필수 고정비</t>
  </si>
  <si>
    <t>주거비(월세)</t>
  </si>
  <si>
    <t>필수 변동비</t>
  </si>
  <si>
    <t>식비(장보기)</t>
  </si>
  <si>
    <t>사업 매출</t>
  </si>
  <si>
    <t>공과금/관리비</t>
  </si>
  <si>
    <t>생필품 구매</t>
  </si>
  <si>
    <t>부수입</t>
  </si>
  <si>
    <t>알바/과외</t>
  </si>
  <si>
    <t>통신비/인터넷</t>
  </si>
  <si>
    <t>교통비/주유</t>
  </si>
  <si>
    <t>블로그/앱테크</t>
  </si>
  <si>
    <t>보험료</t>
  </si>
  <si>
    <t>의료비/약값</t>
  </si>
  <si>
    <t>기타수입</t>
  </si>
  <si>
    <t>상여/성과급</t>
  </si>
  <si>
    <t>구독 서비스</t>
  </si>
  <si>
    <t>자율지출</t>
  </si>
  <si>
    <t>외식/카페</t>
  </si>
  <si>
    <t>중고거래/기타</t>
  </si>
  <si>
    <t>계획저축</t>
  </si>
  <si>
    <t>저축(적금)</t>
  </si>
  <si>
    <t>문화/여가</t>
  </si>
  <si>
    <t>투자(주식)</t>
  </si>
  <si>
    <t>품위유지/옷</t>
  </si>
  <si>
    <t>대출 원리금</t>
  </si>
  <si>
    <t>경조사/선물</t>
  </si>
  <si>
    <t>수익 합계</t>
  </si>
  <si>
    <t>고정비 합계</t>
  </si>
  <si>
    <t>변동비 합계</t>
  </si>
  <si>
    <t>💰 이번 달 총 수입 (실제)</t>
  </si>
  <si>
    <t>💸 이번 달 총 지출 (고정+변동)</t>
  </si>
  <si>
    <t>🪙 이번 달 최종 남은 잔액</t>
  </si>
  <si>
    <t>📝 마인드셋 &amp; 피드백 (스스로 돌아보며 자산 키우기)</t>
  </si>
  <si>
    <t>🎉 이번 달 칭찬해요! (잘한 점)</t>
  </si>
  <si>
    <t>🎯 다음 달 개선점 &amp; 핵심 목표</t>
  </si>
  <si>
    <t>🏆 나의 최종 자산 목표 (Vision)</t>
  </si>
  <si>
    <t>- 예산 범위 내에서 지출 방어 성공!
- 무지출 데이 4회 달성
- 충동구매 욕구를 잘 참아냄</t>
  </si>
  <si>
    <t>- 배달 음식을 너무 자주 먹음 (주 3회 -&gt; 주 1회 목표)
- 고정비 다이어트 필요 (알뜰폰 요금제 비교 후 변경)
- 변동비 예산 10% 감축 도전</t>
  </si>
  <si>
    <t>- 3년 내 투자 시드머니 5,000만 원 달성하기
- 매달 소득의 50% 이상 무조건 저축/투자하기
- 경제적 자유를 얻어 건강하고 여유로운 삶 구축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</si>
</sst>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맑은 고딕"/>
      <family val="2"/>
      <scheme val="minor"/>
    </font>
    <font>
      <b/>
      <sz val="16"/>
      <color rgb="FF1F4E78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0"/>
      <color rgb="FF333333"/>
      <name val="맑은 고딕"/>
      <family val="3"/>
      <charset val="129"/>
    </font>
    <font>
      <b/>
      <sz val="10"/>
      <color rgb="FF111111"/>
      <name val="맑은 고딕"/>
      <family val="3"/>
      <charset val="129"/>
    </font>
    <font>
      <sz val="10"/>
      <color rgb="FF555555"/>
      <name val="맑은 고딕"/>
      <family val="3"/>
      <charset val="129"/>
    </font>
    <font>
      <b/>
      <sz val="13"/>
      <color rgb="FF111111"/>
      <name val="맑은 고딕"/>
      <family val="3"/>
      <charset val="129"/>
    </font>
    <font>
      <b/>
      <sz val="10"/>
      <color rgb="FF2E4053"/>
      <name val="맑은 고딕"/>
      <family val="3"/>
      <charset val="129"/>
    </font>
    <font>
      <b/>
      <sz val="14"/>
      <color rgb="FF1F4E78"/>
      <name val="맑은 고딕"/>
      <family val="3"/>
      <charset val="129"/>
    </font>
    <font>
      <b/>
      <sz val="12"/>
      <color rgb="FF1F4E78"/>
      <name val="맑은 고딕"/>
      <family val="3"/>
      <charset val="129"/>
    </font>
    <font>
      <b/>
      <sz val="11"/>
      <color rgb="FF2C3E50"/>
      <name val="맑은 고딕"/>
      <family val="3"/>
      <charset val="129"/>
    </font>
    <font>
      <i/>
      <sz val="10"/>
      <color rgb="FF7F8C8D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2C3E50"/>
        <bgColor rgb="FF2C3E50"/>
      </patternFill>
    </fill>
    <fill>
      <patternFill patternType="solid">
        <fgColor rgb="FFFFFFFF"/>
        <bgColor rgb="FFFFFFFF"/>
      </patternFill>
    </fill>
    <fill>
      <patternFill patternType="solid">
        <fgColor rgb="FFEAEDED"/>
        <bgColor rgb="FFEAEDED"/>
      </patternFill>
    </fill>
    <fill>
      <patternFill patternType="solid">
        <fgColor rgb="FFE8F8F5"/>
        <bgColor rgb="FFE8F8F5"/>
      </patternFill>
    </fill>
    <fill>
      <patternFill patternType="solid">
        <fgColor rgb="FFFCE4D6"/>
        <bgColor rgb="FFFCE4D6"/>
      </patternFill>
    </fill>
    <fill>
      <patternFill patternType="solid">
        <fgColor rgb="FFEBF5FB"/>
        <bgColor rgb="FFEBF5FB"/>
      </patternFill>
    </fill>
    <fill>
      <patternFill patternType="solid">
        <fgColor rgb="FFFEF9E7"/>
        <bgColor rgb="FFFEF9E7"/>
      </patternFill>
    </fill>
  </fills>
  <borders count="4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B0B0B0"/>
      </top>
      <bottom style="double">
        <color rgb="FF2C3E5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0" fillId="3" borderId="0" xfId="0" applyFill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right" vertical="center"/>
    </xf>
    <xf numFmtId="0" fontId="4" fillId="4" borderId="2" xfId="0" applyFont="1" applyFill="1" applyBorder="1"/>
    <xf numFmtId="0" fontId="4" fillId="4" borderId="2" xfId="0" applyFont="1" applyFill="1" applyBorder="1" applyAlignment="1">
      <alignment horizontal="center" vertical="center"/>
    </xf>
    <xf numFmtId="3" fontId="4" fillId="4" borderId="2" xfId="0" applyNumberFormat="1" applyFont="1" applyFill="1" applyBorder="1" applyAlignment="1">
      <alignment horizontal="right" vertical="center"/>
    </xf>
    <xf numFmtId="3" fontId="8" fillId="7" borderId="3" xfId="0" applyNumberFormat="1" applyFont="1" applyFill="1" applyBorder="1" applyAlignment="1">
      <alignment horizontal="center" vertical="center"/>
    </xf>
    <xf numFmtId="0" fontId="0" fillId="7" borderId="3" xfId="0" applyFill="1" applyBorder="1"/>
    <xf numFmtId="0" fontId="5" fillId="5" borderId="3" xfId="0" applyFont="1" applyFill="1" applyBorder="1" applyAlignment="1">
      <alignment horizontal="center" vertical="center"/>
    </xf>
    <xf numFmtId="0" fontId="0" fillId="5" borderId="3" xfId="0" applyFill="1" applyBorder="1"/>
    <xf numFmtId="0" fontId="11" fillId="0" borderId="3" xfId="0" applyFont="1" applyBorder="1" applyAlignment="1">
      <alignment horizontal="left" vertical="top" wrapText="1"/>
    </xf>
    <xf numFmtId="0" fontId="0" fillId="0" borderId="3" xfId="0" applyBorder="1"/>
    <xf numFmtId="0" fontId="5" fillId="6" borderId="3" xfId="0" applyFont="1" applyFill="1" applyBorder="1" applyAlignment="1">
      <alignment horizontal="center" vertical="center"/>
    </xf>
    <xf numFmtId="0" fontId="0" fillId="6" borderId="3" xfId="0" applyFill="1" applyBorder="1"/>
    <xf numFmtId="0" fontId="7" fillId="7" borderId="3" xfId="0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horizontal="center" vertical="center"/>
    </xf>
    <xf numFmtId="3" fontId="6" fillId="5" borderId="3" xfId="0" applyNumberFormat="1" applyFont="1" applyFill="1" applyBorder="1" applyAlignment="1">
      <alignment horizontal="center" vertical="center"/>
    </xf>
    <xf numFmtId="0" fontId="10" fillId="8" borderId="3" xfId="0" applyFont="1" applyFill="1" applyBorder="1" applyAlignment="1">
      <alignment horizontal="center" vertical="center"/>
    </xf>
    <xf numFmtId="0" fontId="0" fillId="8" borderId="3" xfId="0" applyFill="1" applyBorder="1"/>
    <xf numFmtId="0" fontId="9" fillId="0" borderId="0" xfId="0" applyFont="1" applyAlignment="1">
      <alignment horizontal="left" vertical="center"/>
    </xf>
    <xf numFmtId="0" fontId="0" fillId="0" borderId="0" xfId="0"/>
    <xf numFmtId="3" fontId="6" fillId="6" borderId="3" xfId="0" applyNumberFormat="1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25"/>
  <sheetViews>
    <sheetView tabSelected="1" workbookViewId="0">
      <selection activeCell="G17" sqref="G17:H17"/>
    </sheetView>
  </sheetViews>
  <sheetFormatPr defaultRowHeight="16.5" x14ac:dyDescent="0.3"/>
  <cols>
    <col min="1" max="1" width="17" customWidth="1"/>
    <col min="2" max="2" width="19" customWidth="1"/>
    <col min="3" max="4" width="18" customWidth="1"/>
    <col min="5" max="5" width="3" customWidth="1"/>
    <col min="6" max="6" width="17" customWidth="1"/>
    <col min="7" max="7" width="19" customWidth="1"/>
    <col min="8" max="9" width="18" customWidth="1"/>
    <col min="10" max="10" width="3" customWidth="1"/>
    <col min="11" max="11" width="17" customWidth="1"/>
    <col min="12" max="14" width="18" customWidth="1"/>
  </cols>
  <sheetData>
    <row r="2" spans="1:14" ht="24.95" customHeight="1" x14ac:dyDescent="0.5">
      <c r="A2" s="1" t="s">
        <v>0</v>
      </c>
    </row>
    <row r="5" spans="1:14" ht="24" customHeight="1" x14ac:dyDescent="0.3">
      <c r="A5" s="2" t="s">
        <v>1</v>
      </c>
      <c r="B5" s="2" t="s">
        <v>2</v>
      </c>
      <c r="C5" s="2" t="s">
        <v>3</v>
      </c>
      <c r="D5" s="2" t="s">
        <v>4</v>
      </c>
      <c r="E5" s="3"/>
      <c r="F5" s="2" t="s">
        <v>5</v>
      </c>
      <c r="G5" s="2" t="s">
        <v>6</v>
      </c>
      <c r="H5" s="2" t="s">
        <v>7</v>
      </c>
      <c r="I5" s="2" t="s">
        <v>8</v>
      </c>
      <c r="J5" s="3"/>
      <c r="K5" s="2" t="s">
        <v>9</v>
      </c>
      <c r="L5" s="2" t="s">
        <v>10</v>
      </c>
      <c r="M5" s="2" t="s">
        <v>11</v>
      </c>
      <c r="N5" s="2" t="s">
        <v>12</v>
      </c>
    </row>
    <row r="6" spans="1:14" ht="20.100000000000001" customHeight="1" x14ac:dyDescent="0.3">
      <c r="A6" s="4" t="s">
        <v>13</v>
      </c>
      <c r="B6" s="5" t="s">
        <v>14</v>
      </c>
      <c r="C6" s="6">
        <v>0</v>
      </c>
      <c r="D6" s="6">
        <v>0</v>
      </c>
      <c r="E6" s="3"/>
      <c r="F6" s="4" t="s">
        <v>15</v>
      </c>
      <c r="G6" s="5" t="s">
        <v>16</v>
      </c>
      <c r="H6" s="6">
        <v>0</v>
      </c>
      <c r="I6" s="6">
        <v>0</v>
      </c>
      <c r="J6" s="3"/>
      <c r="K6" s="4" t="s">
        <v>17</v>
      </c>
      <c r="L6" s="5" t="s">
        <v>18</v>
      </c>
      <c r="M6" s="6">
        <v>0</v>
      </c>
      <c r="N6" s="6">
        <v>0</v>
      </c>
    </row>
    <row r="7" spans="1:14" ht="20.100000000000001" customHeight="1" x14ac:dyDescent="0.3">
      <c r="A7" s="4" t="s">
        <v>13</v>
      </c>
      <c r="B7" s="5" t="s">
        <v>19</v>
      </c>
      <c r="C7" s="6">
        <v>0</v>
      </c>
      <c r="D7" s="6">
        <v>0</v>
      </c>
      <c r="E7" s="3"/>
      <c r="F7" s="4" t="s">
        <v>15</v>
      </c>
      <c r="G7" s="5" t="s">
        <v>20</v>
      </c>
      <c r="H7" s="6">
        <v>0</v>
      </c>
      <c r="I7" s="6">
        <v>0</v>
      </c>
      <c r="J7" s="3"/>
      <c r="K7" s="4" t="s">
        <v>17</v>
      </c>
      <c r="L7" s="5" t="s">
        <v>21</v>
      </c>
      <c r="M7" s="6">
        <v>0</v>
      </c>
      <c r="N7" s="6">
        <v>0</v>
      </c>
    </row>
    <row r="8" spans="1:14" ht="20.100000000000001" customHeight="1" x14ac:dyDescent="0.3">
      <c r="A8" s="4" t="s">
        <v>22</v>
      </c>
      <c r="B8" s="5" t="s">
        <v>23</v>
      </c>
      <c r="C8" s="6">
        <v>0</v>
      </c>
      <c r="D8" s="6">
        <v>0</v>
      </c>
      <c r="E8" s="3"/>
      <c r="F8" s="4" t="s">
        <v>15</v>
      </c>
      <c r="G8" s="5" t="s">
        <v>24</v>
      </c>
      <c r="H8" s="6">
        <v>0</v>
      </c>
      <c r="I8" s="6">
        <v>0</v>
      </c>
      <c r="J8" s="3"/>
      <c r="K8" s="4" t="s">
        <v>17</v>
      </c>
      <c r="L8" s="5" t="s">
        <v>25</v>
      </c>
      <c r="M8" s="6">
        <v>0</v>
      </c>
      <c r="N8" s="6">
        <v>0</v>
      </c>
    </row>
    <row r="9" spans="1:14" ht="20.100000000000001" customHeight="1" x14ac:dyDescent="0.3">
      <c r="A9" s="4" t="s">
        <v>22</v>
      </c>
      <c r="B9" s="5" t="s">
        <v>26</v>
      </c>
      <c r="C9" s="6">
        <v>0</v>
      </c>
      <c r="D9" s="6">
        <v>0</v>
      </c>
      <c r="E9" s="3"/>
      <c r="F9" s="4" t="s">
        <v>15</v>
      </c>
      <c r="G9" s="5" t="s">
        <v>27</v>
      </c>
      <c r="H9" s="6">
        <v>0</v>
      </c>
      <c r="I9" s="6">
        <v>0</v>
      </c>
      <c r="J9" s="3"/>
      <c r="K9" s="4" t="s">
        <v>17</v>
      </c>
      <c r="L9" s="5" t="s">
        <v>28</v>
      </c>
      <c r="M9" s="6">
        <v>0</v>
      </c>
      <c r="N9" s="6">
        <v>0</v>
      </c>
    </row>
    <row r="10" spans="1:14" ht="20.100000000000001" customHeight="1" x14ac:dyDescent="0.3">
      <c r="A10" s="4" t="s">
        <v>29</v>
      </c>
      <c r="B10" s="5" t="s">
        <v>30</v>
      </c>
      <c r="C10" s="6">
        <v>0</v>
      </c>
      <c r="D10" s="6">
        <v>0</v>
      </c>
      <c r="E10" s="3"/>
      <c r="F10" s="4" t="s">
        <v>15</v>
      </c>
      <c r="G10" s="5" t="s">
        <v>31</v>
      </c>
      <c r="H10" s="6">
        <v>0</v>
      </c>
      <c r="I10" s="6">
        <v>0</v>
      </c>
      <c r="J10" s="3"/>
      <c r="K10" s="4" t="s">
        <v>32</v>
      </c>
      <c r="L10" s="5" t="s">
        <v>33</v>
      </c>
      <c r="M10" s="6">
        <v>0</v>
      </c>
      <c r="N10" s="6">
        <v>0</v>
      </c>
    </row>
    <row r="11" spans="1:14" ht="20.100000000000001" customHeight="1" x14ac:dyDescent="0.3">
      <c r="A11" s="4" t="s">
        <v>29</v>
      </c>
      <c r="B11" s="5" t="s">
        <v>34</v>
      </c>
      <c r="C11" s="6">
        <v>0</v>
      </c>
      <c r="D11" s="6">
        <v>0</v>
      </c>
      <c r="E11" s="3"/>
      <c r="F11" s="4" t="s">
        <v>35</v>
      </c>
      <c r="G11" s="5" t="s">
        <v>36</v>
      </c>
      <c r="H11" s="6">
        <v>0</v>
      </c>
      <c r="I11" s="6">
        <v>0</v>
      </c>
      <c r="J11" s="3"/>
      <c r="K11" s="4" t="s">
        <v>32</v>
      </c>
      <c r="L11" s="5" t="s">
        <v>37</v>
      </c>
      <c r="M11" s="6">
        <v>0</v>
      </c>
      <c r="N11" s="6">
        <v>0</v>
      </c>
    </row>
    <row r="12" spans="1:14" ht="20.100000000000001" customHeight="1" x14ac:dyDescent="0.3">
      <c r="A12" s="4"/>
      <c r="B12" s="5"/>
      <c r="C12" s="5"/>
      <c r="D12" s="5"/>
      <c r="E12" s="3"/>
      <c r="F12" s="4" t="s">
        <v>35</v>
      </c>
      <c r="G12" s="5" t="s">
        <v>38</v>
      </c>
      <c r="H12" s="6">
        <v>0</v>
      </c>
      <c r="I12" s="6">
        <v>0</v>
      </c>
      <c r="J12" s="3"/>
      <c r="K12" s="4" t="s">
        <v>32</v>
      </c>
      <c r="L12" s="5" t="s">
        <v>39</v>
      </c>
      <c r="M12" s="6">
        <v>0</v>
      </c>
      <c r="N12" s="6">
        <v>0</v>
      </c>
    </row>
    <row r="13" spans="1:14" ht="20.100000000000001" customHeight="1" x14ac:dyDescent="0.3">
      <c r="A13" s="4"/>
      <c r="B13" s="5"/>
      <c r="C13" s="5"/>
      <c r="D13" s="5"/>
      <c r="E13" s="3"/>
      <c r="F13" s="4" t="s">
        <v>35</v>
      </c>
      <c r="G13" s="5" t="s">
        <v>40</v>
      </c>
      <c r="H13" s="6">
        <v>0</v>
      </c>
      <c r="I13" s="6">
        <v>0</v>
      </c>
      <c r="J13" s="3"/>
      <c r="K13" s="4" t="s">
        <v>32</v>
      </c>
      <c r="L13" s="5" t="s">
        <v>41</v>
      </c>
      <c r="M13" s="6">
        <v>0</v>
      </c>
      <c r="N13" s="6">
        <v>0</v>
      </c>
    </row>
    <row r="14" spans="1:14" ht="24" customHeight="1" x14ac:dyDescent="0.3">
      <c r="A14" s="7"/>
      <c r="B14" s="8" t="s">
        <v>42</v>
      </c>
      <c r="C14" s="9">
        <f>SUM(C6:C13)</f>
        <v>0</v>
      </c>
      <c r="D14" s="9">
        <f>SUM(D6:D13)</f>
        <v>0</v>
      </c>
      <c r="E14" s="3"/>
      <c r="F14" s="7"/>
      <c r="G14" s="8" t="s">
        <v>43</v>
      </c>
      <c r="H14" s="9">
        <f>SUM(H6:H13)</f>
        <v>0</v>
      </c>
      <c r="I14" s="9">
        <f>SUM(I6:I13)</f>
        <v>0</v>
      </c>
      <c r="J14" s="3"/>
      <c r="K14" s="7"/>
      <c r="L14" s="8" t="s">
        <v>44</v>
      </c>
      <c r="M14" s="9">
        <f>SUM(M6:M13)</f>
        <v>0</v>
      </c>
      <c r="N14" s="9">
        <f>SUM(N6:N13)</f>
        <v>0</v>
      </c>
    </row>
    <row r="16" spans="1:14" ht="20.100000000000001" customHeight="1" x14ac:dyDescent="0.3">
      <c r="B16" s="12" t="s">
        <v>45</v>
      </c>
      <c r="C16" s="13"/>
      <c r="G16" s="16" t="s">
        <v>46</v>
      </c>
      <c r="H16" s="17"/>
      <c r="L16" s="18" t="s">
        <v>47</v>
      </c>
      <c r="M16" s="11"/>
    </row>
    <row r="17" spans="2:14" ht="27.95" customHeight="1" x14ac:dyDescent="0.3">
      <c r="B17" s="20">
        <f>D14</f>
        <v>0</v>
      </c>
      <c r="C17" s="13"/>
      <c r="G17" s="25">
        <f>I14+N14</f>
        <v>0</v>
      </c>
      <c r="H17" s="17"/>
      <c r="L17" s="10">
        <f>B17-G17</f>
        <v>0</v>
      </c>
      <c r="M17" s="11"/>
    </row>
    <row r="19" spans="2:14" ht="24" customHeight="1" x14ac:dyDescent="0.3">
      <c r="B19" s="23" t="s">
        <v>48</v>
      </c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</row>
    <row r="21" spans="2:14" ht="21.95" customHeight="1" x14ac:dyDescent="0.3">
      <c r="B21" s="19" t="s">
        <v>49</v>
      </c>
      <c r="C21" s="13"/>
      <c r="D21" s="13"/>
      <c r="G21" s="21" t="s">
        <v>50</v>
      </c>
      <c r="H21" s="22"/>
      <c r="I21" s="22"/>
      <c r="L21" s="26" t="s">
        <v>51</v>
      </c>
      <c r="M21" s="11"/>
      <c r="N21" s="11"/>
    </row>
    <row r="22" spans="2:14" ht="20.100000000000001" customHeight="1" x14ac:dyDescent="0.3">
      <c r="B22" s="14" t="s">
        <v>52</v>
      </c>
      <c r="C22" s="15"/>
      <c r="D22" s="15"/>
      <c r="G22" s="14" t="s">
        <v>53</v>
      </c>
      <c r="H22" s="15"/>
      <c r="I22" s="15"/>
      <c r="L22" s="14" t="s">
        <v>54</v>
      </c>
      <c r="M22" s="15"/>
      <c r="N22" s="15"/>
    </row>
    <row r="23" spans="2:14" ht="20.100000000000001" customHeight="1" x14ac:dyDescent="0.3">
      <c r="B23" s="15"/>
      <c r="C23" s="15"/>
      <c r="D23" s="15"/>
      <c r="G23" s="15"/>
      <c r="H23" s="15"/>
      <c r="I23" s="15"/>
      <c r="L23" s="15"/>
      <c r="M23" s="15"/>
      <c r="N23" s="15"/>
    </row>
    <row r="24" spans="2:14" ht="20.100000000000001" customHeight="1" x14ac:dyDescent="0.3">
      <c r="B24" s="15"/>
      <c r="C24" s="15"/>
      <c r="D24" s="15"/>
      <c r="G24" s="15"/>
      <c r="H24" s="15"/>
      <c r="I24" s="15"/>
      <c r="L24" s="15"/>
      <c r="M24" s="15"/>
      <c r="N24" s="15"/>
    </row>
    <row r="25" spans="2:14" ht="20.100000000000001" customHeight="1" x14ac:dyDescent="0.3">
      <c r="B25" s="15"/>
      <c r="C25" s="15"/>
      <c r="D25" s="15"/>
      <c r="G25" s="15"/>
      <c r="H25" s="15"/>
      <c r="I25" s="15"/>
      <c r="L25" s="15"/>
      <c r="M25" s="15"/>
      <c r="N25" s="15"/>
    </row>
  </sheetData>
  <mergeCells count="13">
    <mergeCell ref="L17:M17"/>
    <mergeCell ref="B16:C16"/>
    <mergeCell ref="L22:N25"/>
    <mergeCell ref="G16:H16"/>
    <mergeCell ref="L16:M16"/>
    <mergeCell ref="B22:D25"/>
    <mergeCell ref="G22:I25"/>
    <mergeCell ref="B21:D21"/>
    <mergeCell ref="B17:C17"/>
    <mergeCell ref="G21:I21"/>
    <mergeCell ref="B19:N19"/>
    <mergeCell ref="G17:H17"/>
    <mergeCell ref="L21:N21"/>
  </mergeCells>
  <phoneticPr fontId="12" type="noConversion"/>
  <pageMargins left="0.75" right="0.75" top="1" bottom="1" header="0.5" footer="0.5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현진 황</cp:lastModifiedBy>
  <cp:lastPrinted>2026-05-25T06:03:36Z</cp:lastPrinted>
  <dcterms:created xsi:type="dcterms:W3CDTF">2026-05-25T06:03:00Z</dcterms:created>
  <dcterms:modified xsi:type="dcterms:W3CDTF">2026-05-25T06:03:38Z</dcterms:modified>
</cp:coreProperties>
</file>